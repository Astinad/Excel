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9EBB2047-C71A-43A0-B127-7610F45F1C11}" xr6:coauthVersionLast="47" xr6:coauthVersionMax="47" xr10:uidLastSave="{00000000-0000-0000-0000-000000000000}"/>
  <bookViews>
    <workbookView xWindow="-110" yWindow="-110" windowWidth="19420" windowHeight="1042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4" i="1" l="1"/>
  <c r="R29" i="1"/>
  <c r="R45" i="1"/>
  <c r="R43" i="1"/>
  <c r="R26" i="1"/>
  <c r="R57" i="1"/>
  <c r="R54" i="1"/>
  <c r="R23" i="1"/>
  <c r="R22" i="1"/>
  <c r="R58" i="1"/>
  <c r="R20" i="1"/>
  <c r="R46" i="1"/>
  <c r="R63" i="1"/>
  <c r="R7" i="1"/>
  <c r="R16" i="1"/>
  <c r="R24" i="1"/>
  <c r="R64" i="1"/>
  <c r="R21" i="1"/>
  <c r="R32" i="1"/>
  <c r="R5" i="1"/>
  <c r="R39" i="1"/>
  <c r="R13" i="1"/>
  <c r="R28" i="1"/>
  <c r="R38" i="1"/>
  <c r="R25" i="1"/>
  <c r="R41" i="1"/>
  <c r="R27" i="1"/>
  <c r="R10" i="1"/>
  <c r="R35" i="1"/>
  <c r="R37" i="1"/>
  <c r="R9" i="1"/>
  <c r="R56" i="1"/>
  <c r="R19" i="1"/>
  <c r="R17" i="1"/>
  <c r="R33" i="1"/>
  <c r="R59" i="1"/>
  <c r="R18" i="1"/>
  <c r="R8" i="1"/>
  <c r="R61" i="1"/>
  <c r="R6" i="1"/>
  <c r="R50" i="1"/>
  <c r="R14" i="1"/>
  <c r="R53" i="1"/>
  <c r="R30" i="1"/>
  <c r="R48" i="1"/>
  <c r="R49" i="1"/>
  <c r="R55" i="1"/>
  <c r="R52" i="1"/>
  <c r="R60" i="1"/>
  <c r="R31" i="1"/>
  <c r="R15" i="1"/>
  <c r="R11" i="1"/>
  <c r="R62" i="1"/>
  <c r="R42" i="1"/>
  <c r="R51" i="1"/>
  <c r="R36" i="1"/>
  <c r="R34" i="1"/>
  <c r="R40" i="1"/>
  <c r="R47" i="1"/>
  <c r="R12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<sst xmlns="http://schemas.openxmlformats.org/spreadsheetml/2006/main" count="737" uniqueCount="263">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</sst>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19050</xdr:rowOff>
    </xdr:from>
    <xdr:to>
      <xdr:col>21</xdr:col>
      <xdr:colOff>603250</xdr:colOff>
      <xdr:row>7</xdr:row>
      <xdr:rowOff>127000</xdr:rowOff>
    </xdr:to>
    <xdr:sp macro="[0]!Sorter" textlink="">
      <xdr:nvSpPr>
        <xdr:cNvPr id="2" name="Rectangle 1">
          <a:extLst>
            <a:ext uri="{FF2B5EF4-FFF2-40B4-BE49-F238E27FC236}">
              <a16:creationId xmlns:a16="http://schemas.microsoft.com/office/drawing/2014/main" id="{6A51AD1E-515A-3C30-8537-1875AE589159}"/>
            </a:ext>
          </a:extLst>
        </xdr:cNvPr>
        <xdr:cNvSpPr/>
      </xdr:nvSpPr>
      <xdr:spPr>
        <a:xfrm>
          <a:off x="17767300" y="622300"/>
          <a:ext cx="1822450" cy="844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127000</xdr:colOff>
      <xdr:row>3</xdr:row>
      <xdr:rowOff>76200</xdr:rowOff>
    </xdr:from>
    <xdr:to>
      <xdr:col>21</xdr:col>
      <xdr:colOff>488950</xdr:colOff>
      <xdr:row>5</xdr:row>
      <xdr:rowOff>107950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A7FD0F6-C6A8-5956-538A-37C23C4B7AB0}"/>
            </a:ext>
          </a:extLst>
        </xdr:cNvPr>
        <xdr:cNvSpPr txBox="1"/>
      </xdr:nvSpPr>
      <xdr:spPr>
        <a:xfrm>
          <a:off x="17894300" y="679450"/>
          <a:ext cx="1581150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/>
            <a:t>Sort 5 YR CAGR in descending order</a:t>
          </a:r>
        </a:p>
      </xdr:txBody>
    </xdr:sp>
    <xdr:clientData/>
  </xdr:twoCellAnchor>
  <xdr:twoCellAnchor>
    <xdr:from>
      <xdr:col>19</xdr:col>
      <xdr:colOff>12700</xdr:colOff>
      <xdr:row>10</xdr:row>
      <xdr:rowOff>6350</xdr:rowOff>
    </xdr:from>
    <xdr:to>
      <xdr:col>22</xdr:col>
      <xdr:colOff>6350</xdr:colOff>
      <xdr:row>14</xdr:row>
      <xdr:rowOff>19050</xdr:rowOff>
    </xdr:to>
    <xdr:sp macro="[0]!Sorting2021" textlink="">
      <xdr:nvSpPr>
        <xdr:cNvPr id="4" name="Rectangle 3">
          <a:extLst>
            <a:ext uri="{FF2B5EF4-FFF2-40B4-BE49-F238E27FC236}">
              <a16:creationId xmlns:a16="http://schemas.microsoft.com/office/drawing/2014/main" id="{E5E4ABD3-FFE7-2FCE-8E32-9D978656B3D1}"/>
            </a:ext>
          </a:extLst>
        </xdr:cNvPr>
        <xdr:cNvSpPr/>
      </xdr:nvSpPr>
      <xdr:spPr>
        <a:xfrm>
          <a:off x="17780000" y="1898650"/>
          <a:ext cx="1822450" cy="749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120650</xdr:colOff>
      <xdr:row>10</xdr:row>
      <xdr:rowOff>120650</xdr:rowOff>
    </xdr:from>
    <xdr:to>
      <xdr:col>21</xdr:col>
      <xdr:colOff>533400</xdr:colOff>
      <xdr:row>12</xdr:row>
      <xdr:rowOff>44450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F0C0810-B96C-BA35-61C1-74FFD516D48D}"/>
            </a:ext>
          </a:extLst>
        </xdr:cNvPr>
        <xdr:cNvSpPr txBox="1"/>
      </xdr:nvSpPr>
      <xdr:spPr>
        <a:xfrm>
          <a:off x="17887950" y="2012950"/>
          <a:ext cx="1631950" cy="29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/>
            <a:t>Sort 2021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H1" zoomScale="94" zoomScaleNormal="94" workbookViewId="0">
      <selection activeCell="Y10" sqref="Y10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5.5429687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5">
      <c r="A5" t="s">
        <v>211</v>
      </c>
      <c r="B5" t="s">
        <v>212</v>
      </c>
      <c r="C5" t="s">
        <v>213</v>
      </c>
      <c r="D5" t="s">
        <v>214</v>
      </c>
      <c r="E5" t="s">
        <v>206</v>
      </c>
      <c r="F5" t="s">
        <v>22</v>
      </c>
      <c r="G5" t="s">
        <v>22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5">
      <c r="A6" t="s">
        <v>68</v>
      </c>
      <c r="B6" t="s">
        <v>69</v>
      </c>
      <c r="C6" t="s">
        <v>70</v>
      </c>
      <c r="D6" t="s">
        <v>71</v>
      </c>
      <c r="E6" t="s">
        <v>21</v>
      </c>
      <c r="F6" t="s">
        <v>22</v>
      </c>
      <c r="G6" t="s">
        <v>27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9983</v>
      </c>
      <c r="R6" s="4">
        <f>_xlfn.RRI($Q$4-$M$4,M6,Q6)</f>
        <v>2.4196727899599142</v>
      </c>
    </row>
    <row r="7" spans="1:18" x14ac:dyDescent="0.35">
      <c r="A7" t="s">
        <v>97</v>
      </c>
      <c r="B7" t="s">
        <v>98</v>
      </c>
      <c r="C7" t="s">
        <v>99</v>
      </c>
      <c r="D7" t="s">
        <v>100</v>
      </c>
      <c r="E7" t="s">
        <v>84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128</v>
      </c>
      <c r="N7">
        <v>416</v>
      </c>
      <c r="O7">
        <v>747</v>
      </c>
      <c r="P7">
        <v>1028</v>
      </c>
      <c r="Q7">
        <v>9909</v>
      </c>
      <c r="R7" s="4">
        <f>_xlfn.RRI($Q$4-$M$4,M7,Q7)</f>
        <v>1.9662309679098744</v>
      </c>
    </row>
    <row r="8" spans="1:18" x14ac:dyDescent="0.35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27</v>
      </c>
      <c r="M8">
        <v>138</v>
      </c>
      <c r="N8">
        <v>286</v>
      </c>
      <c r="O8">
        <v>6750</v>
      </c>
      <c r="P8">
        <v>8254</v>
      </c>
      <c r="Q8">
        <v>9822</v>
      </c>
      <c r="R8" s="4">
        <f>_xlfn.RRI($Q$4-$M$4,M8,Q8)</f>
        <v>1.904559054633074</v>
      </c>
    </row>
    <row r="9" spans="1:18" x14ac:dyDescent="0.35">
      <c r="A9" t="s">
        <v>146</v>
      </c>
      <c r="B9" t="s">
        <v>147</v>
      </c>
      <c r="C9" t="s">
        <v>148</v>
      </c>
      <c r="D9" t="s">
        <v>149</v>
      </c>
      <c r="E9" t="s">
        <v>145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9768</v>
      </c>
      <c r="R9" s="4">
        <f>_xlfn.RRI($Q$4-$M$4,M9,Q9)</f>
        <v>1.6146577017494455</v>
      </c>
    </row>
    <row r="10" spans="1:18" x14ac:dyDescent="0.35">
      <c r="A10" t="s">
        <v>125</v>
      </c>
      <c r="B10" t="s">
        <v>126</v>
      </c>
      <c r="C10" t="s">
        <v>127</v>
      </c>
      <c r="D10" t="s">
        <v>128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9766</v>
      </c>
      <c r="R10" s="4">
        <f>_xlfn.RRI($Q$4-$M$4,M10,Q10)</f>
        <v>1.5309580140310248</v>
      </c>
    </row>
    <row r="11" spans="1:18" x14ac:dyDescent="0.35">
      <c r="A11" t="s">
        <v>101</v>
      </c>
      <c r="B11" t="s">
        <v>102</v>
      </c>
      <c r="C11" t="s">
        <v>103</v>
      </c>
      <c r="D11" t="s">
        <v>104</v>
      </c>
      <c r="E11" t="s">
        <v>84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9759</v>
      </c>
      <c r="R11" s="4">
        <f>_xlfn.RRI($Q$4-$M$4,M11,Q11)</f>
        <v>1.3901960943854381</v>
      </c>
    </row>
    <row r="12" spans="1:18" x14ac:dyDescent="0.35">
      <c r="A12" t="s">
        <v>207</v>
      </c>
      <c r="B12" t="s">
        <v>208</v>
      </c>
      <c r="C12" t="s">
        <v>209</v>
      </c>
      <c r="D12" t="s">
        <v>210</v>
      </c>
      <c r="E12" t="s">
        <v>206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9686</v>
      </c>
      <c r="R12" s="4">
        <f>_xlfn.RRI($Q$4-$M$4,M12,Q12)</f>
        <v>1.2528856821729146</v>
      </c>
    </row>
    <row r="13" spans="1:18" x14ac:dyDescent="0.35">
      <c r="A13" t="s">
        <v>178</v>
      </c>
      <c r="B13" t="s">
        <v>179</v>
      </c>
      <c r="C13" t="s">
        <v>180</v>
      </c>
      <c r="D13" t="s">
        <v>181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9681</v>
      </c>
      <c r="R13" s="4">
        <f>_xlfn.RRI($Q$4-$M$4,M13,Q13)</f>
        <v>1.177011571660191</v>
      </c>
    </row>
    <row r="14" spans="1:18" x14ac:dyDescent="0.35">
      <c r="A14" t="s">
        <v>198</v>
      </c>
      <c r="B14" t="s">
        <v>199</v>
      </c>
      <c r="C14" t="s">
        <v>200</v>
      </c>
      <c r="D14" t="s">
        <v>201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9589</v>
      </c>
      <c r="R14" s="4">
        <f>_xlfn.RRI($Q$4-$M$4,M14,Q14)</f>
        <v>1.1054182065042633</v>
      </c>
    </row>
    <row r="15" spans="1:18" x14ac:dyDescent="0.35">
      <c r="A15" t="s">
        <v>174</v>
      </c>
      <c r="B15" t="s">
        <v>175</v>
      </c>
      <c r="C15" t="s">
        <v>176</v>
      </c>
      <c r="D15" t="s">
        <v>177</v>
      </c>
      <c r="E15" t="s">
        <v>145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9585</v>
      </c>
      <c r="R15" s="4">
        <f>_xlfn.RRI($Q$4-$M$4,M15,Q15)</f>
        <v>1.0250199931348738</v>
      </c>
    </row>
    <row r="16" spans="1:18" x14ac:dyDescent="0.35">
      <c r="A16" t="s">
        <v>117</v>
      </c>
      <c r="B16" t="s">
        <v>118</v>
      </c>
      <c r="C16" t="s">
        <v>119</v>
      </c>
      <c r="D16" t="s">
        <v>120</v>
      </c>
      <c r="E16" t="s">
        <v>84</v>
      </c>
      <c r="F16" t="s">
        <v>22</v>
      </c>
      <c r="G16" t="s">
        <v>22</v>
      </c>
      <c r="H16" t="s">
        <v>27</v>
      </c>
      <c r="I16" t="s">
        <v>27</v>
      </c>
      <c r="J16" t="s">
        <v>27</v>
      </c>
      <c r="K16" t="s">
        <v>22</v>
      </c>
      <c r="L16" t="s">
        <v>27</v>
      </c>
      <c r="M16">
        <v>576</v>
      </c>
      <c r="N16">
        <v>2628</v>
      </c>
      <c r="O16">
        <v>3612</v>
      </c>
      <c r="P16">
        <v>5066</v>
      </c>
      <c r="Q16">
        <v>9571</v>
      </c>
      <c r="R16" s="4">
        <f>_xlfn.RRI($Q$4-$M$4,M16,Q16)</f>
        <v>1.0189878629074292</v>
      </c>
    </row>
    <row r="17" spans="1:18" x14ac:dyDescent="0.35">
      <c r="A17" t="s">
        <v>239</v>
      </c>
      <c r="B17" t="s">
        <v>240</v>
      </c>
      <c r="C17" t="s">
        <v>241</v>
      </c>
      <c r="D17" t="s">
        <v>242</v>
      </c>
      <c r="E17" t="s">
        <v>206</v>
      </c>
      <c r="F17" t="s">
        <v>22</v>
      </c>
      <c r="G17" t="s">
        <v>27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9570</v>
      </c>
      <c r="R17" s="4">
        <f>_xlfn.RRI($Q$4-$M$4,M17,Q17)</f>
        <v>0.92288572093699783</v>
      </c>
    </row>
    <row r="18" spans="1:18" x14ac:dyDescent="0.35">
      <c r="A18" t="s">
        <v>89</v>
      </c>
      <c r="B18" t="s">
        <v>90</v>
      </c>
      <c r="C18" t="s">
        <v>91</v>
      </c>
      <c r="D18" t="s">
        <v>92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9482</v>
      </c>
      <c r="R18" s="4">
        <f>_xlfn.RRI($Q$4-$M$4,M18,Q18)</f>
        <v>0.91031501544693083</v>
      </c>
    </row>
    <row r="19" spans="1:18" x14ac:dyDescent="0.35">
      <c r="A19" t="s">
        <v>133</v>
      </c>
      <c r="B19" t="s">
        <v>134</v>
      </c>
      <c r="C19" t="s">
        <v>135</v>
      </c>
      <c r="D19" t="s">
        <v>136</v>
      </c>
      <c r="E19" t="s">
        <v>84</v>
      </c>
      <c r="F19" t="s">
        <v>22</v>
      </c>
      <c r="G19" t="s">
        <v>22</v>
      </c>
      <c r="H19" t="s">
        <v>22</v>
      </c>
      <c r="I19" t="s">
        <v>22</v>
      </c>
      <c r="J19" t="s">
        <v>22</v>
      </c>
      <c r="K19" t="s">
        <v>22</v>
      </c>
      <c r="L19" t="s">
        <v>22</v>
      </c>
      <c r="M19">
        <v>742</v>
      </c>
      <c r="N19">
        <v>3751</v>
      </c>
      <c r="O19">
        <v>4423</v>
      </c>
      <c r="P19">
        <v>8733</v>
      </c>
      <c r="Q19">
        <v>9428</v>
      </c>
      <c r="R19" s="4">
        <f>_xlfn.RRI($Q$4-$M$4,M19,Q19)</f>
        <v>0.88800837801642007</v>
      </c>
    </row>
    <row r="20" spans="1:18" x14ac:dyDescent="0.35">
      <c r="A20" t="s">
        <v>166</v>
      </c>
      <c r="B20" t="s">
        <v>167</v>
      </c>
      <c r="C20" t="s">
        <v>168</v>
      </c>
      <c r="D20" t="s">
        <v>169</v>
      </c>
      <c r="E20" t="s">
        <v>145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9338</v>
      </c>
      <c r="R20" s="4">
        <f>_xlfn.RRI($Q$4-$M$4,M20,Q20)</f>
        <v>0.81473276103298153</v>
      </c>
    </row>
    <row r="21" spans="1:18" x14ac:dyDescent="0.3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27</v>
      </c>
      <c r="J21" t="s">
        <v>27</v>
      </c>
      <c r="K21" t="s">
        <v>22</v>
      </c>
      <c r="L21" t="s">
        <v>27</v>
      </c>
      <c r="M21">
        <v>870</v>
      </c>
      <c r="N21">
        <v>2428</v>
      </c>
      <c r="O21">
        <v>7386</v>
      </c>
      <c r="P21">
        <v>8835</v>
      </c>
      <c r="Q21">
        <v>9272</v>
      </c>
      <c r="R21" s="4">
        <f>_xlfn.RRI($Q$4-$M$4,M21,Q21)</f>
        <v>0.80681439762343565</v>
      </c>
    </row>
    <row r="22" spans="1:18" x14ac:dyDescent="0.35">
      <c r="A22" t="s">
        <v>219</v>
      </c>
      <c r="B22" t="s">
        <v>220</v>
      </c>
      <c r="C22" t="s">
        <v>221</v>
      </c>
      <c r="D22" t="s">
        <v>222</v>
      </c>
      <c r="E22" t="s">
        <v>206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906</v>
      </c>
      <c r="N22">
        <v>1251</v>
      </c>
      <c r="O22">
        <v>2897</v>
      </c>
      <c r="P22">
        <v>4499</v>
      </c>
      <c r="Q22">
        <v>9271</v>
      </c>
      <c r="R22" s="4">
        <f>_xlfn.RRI($Q$4-$M$4,M22,Q22)</f>
        <v>0.78854386470596949</v>
      </c>
    </row>
    <row r="23" spans="1:18" x14ac:dyDescent="0.35">
      <c r="A23" t="s">
        <v>259</v>
      </c>
      <c r="B23" t="s">
        <v>260</v>
      </c>
      <c r="C23" t="s">
        <v>261</v>
      </c>
      <c r="D23" t="s">
        <v>262</v>
      </c>
      <c r="E23" t="s">
        <v>206</v>
      </c>
      <c r="F23" t="s">
        <v>22</v>
      </c>
      <c r="G23" t="s">
        <v>22</v>
      </c>
      <c r="H23" t="s">
        <v>22</v>
      </c>
      <c r="I23" t="s">
        <v>27</v>
      </c>
      <c r="J23" t="s">
        <v>27</v>
      </c>
      <c r="K23" t="s">
        <v>27</v>
      </c>
      <c r="L23" t="s">
        <v>27</v>
      </c>
      <c r="M23">
        <v>1014</v>
      </c>
      <c r="N23">
        <v>2254</v>
      </c>
      <c r="O23">
        <v>4534</v>
      </c>
      <c r="P23">
        <v>6796</v>
      </c>
      <c r="Q23">
        <v>9225</v>
      </c>
      <c r="R23" s="4">
        <f>_xlfn.RRI($Q$4-$M$4,M23,Q23)</f>
        <v>0.73672919489914257</v>
      </c>
    </row>
    <row r="24" spans="1:18" x14ac:dyDescent="0.35">
      <c r="A24" t="s">
        <v>32</v>
      </c>
      <c r="B24" t="s">
        <v>33</v>
      </c>
      <c r="C24" t="s">
        <v>34</v>
      </c>
      <c r="D24" t="s">
        <v>35</v>
      </c>
      <c r="E24" t="s">
        <v>21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1038</v>
      </c>
      <c r="N24">
        <v>3615</v>
      </c>
      <c r="O24">
        <v>3712</v>
      </c>
      <c r="P24">
        <v>5819</v>
      </c>
      <c r="Q24">
        <v>9236</v>
      </c>
      <c r="R24" s="4">
        <f>_xlfn.RRI($Q$4-$M$4,M24,Q24)</f>
        <v>0.72711653761331441</v>
      </c>
    </row>
    <row r="25" spans="1:18" x14ac:dyDescent="0.35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27</v>
      </c>
      <c r="L25" t="s">
        <v>27</v>
      </c>
      <c r="M25">
        <v>1032</v>
      </c>
      <c r="N25">
        <v>3919</v>
      </c>
      <c r="O25">
        <v>4466</v>
      </c>
      <c r="P25">
        <v>5568</v>
      </c>
      <c r="Q25">
        <v>9081</v>
      </c>
      <c r="R25" s="4">
        <f>_xlfn.RRI($Q$4-$M$4,M25,Q25)</f>
        <v>0.72231861136480635</v>
      </c>
    </row>
    <row r="26" spans="1:18" x14ac:dyDescent="0.35">
      <c r="A26" t="s">
        <v>186</v>
      </c>
      <c r="B26" t="s">
        <v>187</v>
      </c>
      <c r="C26" t="s">
        <v>188</v>
      </c>
      <c r="D26" t="s">
        <v>189</v>
      </c>
      <c r="E26" t="s">
        <v>145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1082</v>
      </c>
      <c r="N26">
        <v>3353</v>
      </c>
      <c r="O26">
        <v>6351</v>
      </c>
      <c r="P26">
        <v>8550</v>
      </c>
      <c r="Q26">
        <v>9206</v>
      </c>
      <c r="R26" s="4">
        <f>_xlfn.RRI($Q$4-$M$4,M26,Q26)</f>
        <v>0.70789405754253343</v>
      </c>
    </row>
    <row r="27" spans="1:18" x14ac:dyDescent="0.35">
      <c r="A27" t="s">
        <v>255</v>
      </c>
      <c r="B27" t="s">
        <v>256</v>
      </c>
      <c r="C27" t="s">
        <v>257</v>
      </c>
      <c r="D27" t="s">
        <v>258</v>
      </c>
      <c r="E27" t="s">
        <v>206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>
        <v>1092</v>
      </c>
      <c r="N27">
        <v>3140</v>
      </c>
      <c r="O27">
        <v>4123</v>
      </c>
      <c r="P27">
        <v>4366</v>
      </c>
      <c r="Q27">
        <v>9093</v>
      </c>
      <c r="R27" s="4">
        <f>_xlfn.RRI($Q$4-$M$4,M27,Q27)</f>
        <v>0.69871741127523768</v>
      </c>
    </row>
    <row r="28" spans="1:18" x14ac:dyDescent="0.35">
      <c r="A28" t="s">
        <v>158</v>
      </c>
      <c r="B28" t="s">
        <v>159</v>
      </c>
      <c r="C28" t="s">
        <v>160</v>
      </c>
      <c r="D28" t="s">
        <v>161</v>
      </c>
      <c r="E28" t="s">
        <v>145</v>
      </c>
      <c r="F28" t="s">
        <v>22</v>
      </c>
      <c r="G28" t="s">
        <v>22</v>
      </c>
      <c r="H28" t="s">
        <v>22</v>
      </c>
      <c r="I28" t="s">
        <v>22</v>
      </c>
      <c r="J28" t="s">
        <v>22</v>
      </c>
      <c r="K28" t="s">
        <v>22</v>
      </c>
      <c r="L28" t="s">
        <v>22</v>
      </c>
      <c r="M28">
        <v>1209</v>
      </c>
      <c r="N28">
        <v>1534</v>
      </c>
      <c r="O28">
        <v>1634</v>
      </c>
      <c r="P28">
        <v>4302</v>
      </c>
      <c r="Q28">
        <v>8834</v>
      </c>
      <c r="R28" s="4">
        <f>_xlfn.RRI($Q$4-$M$4,M28,Q28)</f>
        <v>0.64411720288492758</v>
      </c>
    </row>
    <row r="29" spans="1:18" x14ac:dyDescent="0.35">
      <c r="A29" t="s">
        <v>28</v>
      </c>
      <c r="B29" t="s">
        <v>29</v>
      </c>
      <c r="C29" t="s">
        <v>30</v>
      </c>
      <c r="D29" t="s">
        <v>31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27</v>
      </c>
      <c r="L29" t="s">
        <v>27</v>
      </c>
      <c r="M29">
        <v>1263</v>
      </c>
      <c r="N29">
        <v>2517</v>
      </c>
      <c r="O29">
        <v>8042</v>
      </c>
      <c r="P29">
        <v>8222</v>
      </c>
      <c r="Q29">
        <v>8780</v>
      </c>
      <c r="R29" s="4">
        <f>_xlfn.RRI($Q$4-$M$4,M29,Q29)</f>
        <v>0.62376356172541825</v>
      </c>
    </row>
    <row r="30" spans="1:18" x14ac:dyDescent="0.35">
      <c r="A30" t="s">
        <v>251</v>
      </c>
      <c r="B30" t="s">
        <v>252</v>
      </c>
      <c r="C30" t="s">
        <v>253</v>
      </c>
      <c r="D30" t="s">
        <v>254</v>
      </c>
      <c r="E30" t="s">
        <v>206</v>
      </c>
      <c r="F30" t="s">
        <v>22</v>
      </c>
      <c r="G30" t="s">
        <v>22</v>
      </c>
      <c r="H30" t="s">
        <v>22</v>
      </c>
      <c r="I30" t="s">
        <v>22</v>
      </c>
      <c r="J30" t="s">
        <v>27</v>
      </c>
      <c r="K30" t="s">
        <v>27</v>
      </c>
      <c r="L30" t="s">
        <v>27</v>
      </c>
      <c r="M30">
        <v>1290</v>
      </c>
      <c r="N30">
        <v>4033</v>
      </c>
      <c r="O30">
        <v>6956</v>
      </c>
      <c r="P30">
        <v>7929</v>
      </c>
      <c r="Q30">
        <v>8758</v>
      </c>
      <c r="R30" s="4">
        <f>_xlfn.RRI($Q$4-$M$4,M30,Q30)</f>
        <v>0.61418685980894239</v>
      </c>
    </row>
    <row r="31" spans="1:18" x14ac:dyDescent="0.35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27</v>
      </c>
      <c r="M31">
        <v>1357</v>
      </c>
      <c r="N31">
        <v>4189</v>
      </c>
      <c r="O31">
        <v>5407</v>
      </c>
      <c r="P31">
        <v>6233</v>
      </c>
      <c r="Q31">
        <v>8656</v>
      </c>
      <c r="R31" s="4">
        <f>_xlfn.RRI($Q$4-$M$4,M31,Q31)</f>
        <v>0.58922120063284922</v>
      </c>
    </row>
    <row r="32" spans="1:18" x14ac:dyDescent="0.35">
      <c r="A32" t="s">
        <v>105</v>
      </c>
      <c r="B32" t="s">
        <v>106</v>
      </c>
      <c r="C32" t="s">
        <v>107</v>
      </c>
      <c r="D32" t="s">
        <v>108</v>
      </c>
      <c r="E32" t="s">
        <v>84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1323</v>
      </c>
      <c r="N32">
        <v>4963</v>
      </c>
      <c r="O32">
        <v>6292</v>
      </c>
      <c r="P32">
        <v>6728</v>
      </c>
      <c r="Q32">
        <v>8433</v>
      </c>
      <c r="R32" s="4">
        <f>_xlfn.RRI($Q$4-$M$4,M32,Q32)</f>
        <v>0.58893292386290996</v>
      </c>
    </row>
    <row r="33" spans="1:18" x14ac:dyDescent="0.35">
      <c r="A33" t="s">
        <v>235</v>
      </c>
      <c r="B33" t="s">
        <v>236</v>
      </c>
      <c r="C33" t="s">
        <v>237</v>
      </c>
      <c r="D33" t="s">
        <v>238</v>
      </c>
      <c r="E33" t="s">
        <v>206</v>
      </c>
      <c r="F33" t="s">
        <v>22</v>
      </c>
      <c r="G33" t="s">
        <v>22</v>
      </c>
      <c r="H33" t="s">
        <v>27</v>
      </c>
      <c r="I33" t="s">
        <v>22</v>
      </c>
      <c r="J33" t="s">
        <v>27</v>
      </c>
      <c r="K33" t="s">
        <v>22</v>
      </c>
      <c r="L33" t="s">
        <v>27</v>
      </c>
      <c r="M33">
        <v>1368</v>
      </c>
      <c r="N33">
        <v>3447</v>
      </c>
      <c r="O33">
        <v>4535</v>
      </c>
      <c r="P33">
        <v>5476</v>
      </c>
      <c r="Q33">
        <v>8599</v>
      </c>
      <c r="R33" s="4">
        <f>_xlfn.RRI($Q$4-$M$4,M33,Q33)</f>
        <v>0.58339935207586713</v>
      </c>
    </row>
    <row r="34" spans="1:18" x14ac:dyDescent="0.35">
      <c r="A34" t="s">
        <v>223</v>
      </c>
      <c r="B34" t="s">
        <v>224</v>
      </c>
      <c r="C34" t="s">
        <v>225</v>
      </c>
      <c r="D34" t="s">
        <v>226</v>
      </c>
      <c r="E34" t="s">
        <v>206</v>
      </c>
      <c r="F34" t="s">
        <v>22</v>
      </c>
      <c r="G34" t="s">
        <v>22</v>
      </c>
      <c r="H34" t="s">
        <v>27</v>
      </c>
      <c r="I34" t="s">
        <v>22</v>
      </c>
      <c r="J34" t="s">
        <v>22</v>
      </c>
      <c r="K34" t="s">
        <v>22</v>
      </c>
      <c r="L34" t="s">
        <v>22</v>
      </c>
      <c r="M34">
        <v>1421</v>
      </c>
      <c r="N34">
        <v>1893</v>
      </c>
      <c r="O34">
        <v>2722</v>
      </c>
      <c r="P34">
        <v>4410</v>
      </c>
      <c r="Q34">
        <v>8207</v>
      </c>
      <c r="R34" s="4">
        <f>_xlfn.RRI($Q$4-$M$4,M34,Q34)</f>
        <v>0.55023518221594458</v>
      </c>
    </row>
    <row r="35" spans="1:18" x14ac:dyDescent="0.35">
      <c r="A35" t="s">
        <v>36</v>
      </c>
      <c r="B35" t="s">
        <v>37</v>
      </c>
      <c r="C35" t="s">
        <v>38</v>
      </c>
      <c r="D35" t="s">
        <v>39</v>
      </c>
      <c r="E35" t="s">
        <v>21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27</v>
      </c>
      <c r="M35">
        <v>1497</v>
      </c>
      <c r="N35">
        <v>1768</v>
      </c>
      <c r="O35">
        <v>2804</v>
      </c>
      <c r="P35">
        <v>5718</v>
      </c>
      <c r="Q35">
        <v>8271</v>
      </c>
      <c r="R35" s="4">
        <f>_xlfn.RRI($Q$4-$M$4,M35,Q35)</f>
        <v>0.53314790933217782</v>
      </c>
    </row>
    <row r="36" spans="1:18" x14ac:dyDescent="0.35">
      <c r="A36" t="s">
        <v>48</v>
      </c>
      <c r="B36" t="s">
        <v>49</v>
      </c>
      <c r="C36" t="s">
        <v>50</v>
      </c>
      <c r="D36" t="s">
        <v>51</v>
      </c>
      <c r="E36" t="s">
        <v>21</v>
      </c>
      <c r="F36" t="s">
        <v>22</v>
      </c>
      <c r="G36" t="s">
        <v>27</v>
      </c>
      <c r="H36" t="s">
        <v>27</v>
      </c>
      <c r="I36" t="s">
        <v>22</v>
      </c>
      <c r="J36" t="s">
        <v>27</v>
      </c>
      <c r="K36" t="s">
        <v>22</v>
      </c>
      <c r="L36" t="s">
        <v>27</v>
      </c>
      <c r="M36">
        <v>1530</v>
      </c>
      <c r="N36">
        <v>1620</v>
      </c>
      <c r="O36">
        <v>2027</v>
      </c>
      <c r="P36">
        <v>4881</v>
      </c>
      <c r="Q36">
        <v>8100</v>
      </c>
      <c r="R36" s="4">
        <f>_xlfn.RRI($Q$4-$M$4,M36,Q36)</f>
        <v>0.51687012184369663</v>
      </c>
    </row>
    <row r="37" spans="1:18" x14ac:dyDescent="0.35">
      <c r="A37" t="s">
        <v>56</v>
      </c>
      <c r="B37" t="s">
        <v>57</v>
      </c>
      <c r="C37" t="s">
        <v>58</v>
      </c>
      <c r="D37" t="s">
        <v>59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27</v>
      </c>
      <c r="K37" t="s">
        <v>22</v>
      </c>
      <c r="L37" t="s">
        <v>27</v>
      </c>
      <c r="M37">
        <v>1581</v>
      </c>
      <c r="N37">
        <v>4799</v>
      </c>
      <c r="O37">
        <v>6582</v>
      </c>
      <c r="P37">
        <v>9024</v>
      </c>
      <c r="Q37">
        <v>8202</v>
      </c>
      <c r="R37" s="4">
        <f>_xlfn.RRI($Q$4-$M$4,M37,Q37)</f>
        <v>0.50920061587086196</v>
      </c>
    </row>
    <row r="38" spans="1:18" x14ac:dyDescent="0.35">
      <c r="A38" t="s">
        <v>113</v>
      </c>
      <c r="B38" t="s">
        <v>114</v>
      </c>
      <c r="C38" t="s">
        <v>115</v>
      </c>
      <c r="D38" t="s">
        <v>116</v>
      </c>
      <c r="E38" t="s">
        <v>84</v>
      </c>
      <c r="F38" t="s">
        <v>22</v>
      </c>
      <c r="G38" t="s">
        <v>22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>
        <v>1532</v>
      </c>
      <c r="N38">
        <v>2678</v>
      </c>
      <c r="O38">
        <v>4068</v>
      </c>
      <c r="P38">
        <v>4278</v>
      </c>
      <c r="Q38">
        <v>7588</v>
      </c>
      <c r="R38" s="4">
        <f>_xlfn.RRI($Q$4-$M$4,M38,Q38)</f>
        <v>0.49182245272813585</v>
      </c>
    </row>
    <row r="39" spans="1:18" x14ac:dyDescent="0.35">
      <c r="A39" t="s">
        <v>64</v>
      </c>
      <c r="B39" t="s">
        <v>65</v>
      </c>
      <c r="C39" t="s">
        <v>66</v>
      </c>
      <c r="D39" t="s">
        <v>67</v>
      </c>
      <c r="E39" t="s">
        <v>21</v>
      </c>
      <c r="F39" t="s">
        <v>22</v>
      </c>
      <c r="G39" t="s">
        <v>27</v>
      </c>
      <c r="H39" t="s">
        <v>27</v>
      </c>
      <c r="I39" t="s">
        <v>22</v>
      </c>
      <c r="J39" t="s">
        <v>22</v>
      </c>
      <c r="K39" t="s">
        <v>22</v>
      </c>
      <c r="L39" t="s">
        <v>27</v>
      </c>
      <c r="M39">
        <v>1779</v>
      </c>
      <c r="N39">
        <v>2124</v>
      </c>
      <c r="O39">
        <v>2844</v>
      </c>
      <c r="P39">
        <v>6877</v>
      </c>
      <c r="Q39">
        <v>7730</v>
      </c>
      <c r="R39" s="4">
        <f>_xlfn.RRI($Q$4-$M$4,M39,Q39)</f>
        <v>0.44377955125310109</v>
      </c>
    </row>
    <row r="40" spans="1:18" x14ac:dyDescent="0.35">
      <c r="A40" t="s">
        <v>17</v>
      </c>
      <c r="B40" t="s">
        <v>18</v>
      </c>
      <c r="C40" t="s">
        <v>19</v>
      </c>
      <c r="D40" t="s">
        <v>20</v>
      </c>
      <c r="E40" t="s">
        <v>21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1982</v>
      </c>
      <c r="N40">
        <v>5388</v>
      </c>
      <c r="O40">
        <v>7063</v>
      </c>
      <c r="P40">
        <v>7208</v>
      </c>
      <c r="Q40">
        <v>7578</v>
      </c>
      <c r="R40" s="4">
        <f>_xlfn.RRI($Q$4-$M$4,M40,Q40)</f>
        <v>0.39833986065823002</v>
      </c>
    </row>
    <row r="41" spans="1:18" x14ac:dyDescent="0.35">
      <c r="A41" t="s">
        <v>40</v>
      </c>
      <c r="B41" t="s">
        <v>41</v>
      </c>
      <c r="C41" t="s">
        <v>42</v>
      </c>
      <c r="D41" t="s">
        <v>43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27</v>
      </c>
      <c r="M41">
        <v>2341</v>
      </c>
      <c r="N41">
        <v>6105</v>
      </c>
      <c r="O41">
        <v>7777</v>
      </c>
      <c r="P41">
        <v>7891</v>
      </c>
      <c r="Q41">
        <v>6909</v>
      </c>
      <c r="R41" s="4">
        <f>_xlfn.RRI($Q$4-$M$4,M41,Q41)</f>
        <v>0.31070043856829943</v>
      </c>
    </row>
    <row r="42" spans="1:18" x14ac:dyDescent="0.35">
      <c r="A42" t="s">
        <v>141</v>
      </c>
      <c r="B42" t="s">
        <v>142</v>
      </c>
      <c r="C42" t="s">
        <v>143</v>
      </c>
      <c r="D42" t="s">
        <v>144</v>
      </c>
      <c r="E42" t="s">
        <v>145</v>
      </c>
      <c r="F42" t="s">
        <v>22</v>
      </c>
      <c r="G42" t="s">
        <v>22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2390</v>
      </c>
      <c r="N42">
        <v>2415</v>
      </c>
      <c r="O42">
        <v>3461</v>
      </c>
      <c r="P42">
        <v>3850</v>
      </c>
      <c r="Q42">
        <v>6357</v>
      </c>
      <c r="R42" s="4">
        <f>_xlfn.RRI($Q$4-$M$4,M42,Q42)</f>
        <v>0.27706669109000526</v>
      </c>
    </row>
    <row r="43" spans="1:18" x14ac:dyDescent="0.35">
      <c r="A43" t="s">
        <v>137</v>
      </c>
      <c r="B43" t="s">
        <v>138</v>
      </c>
      <c r="C43" t="s">
        <v>139</v>
      </c>
      <c r="D43" t="s">
        <v>140</v>
      </c>
      <c r="E43" t="s">
        <v>84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22</v>
      </c>
      <c r="M43">
        <v>2541</v>
      </c>
      <c r="N43">
        <v>3794</v>
      </c>
      <c r="O43">
        <v>3984</v>
      </c>
      <c r="P43">
        <v>8803</v>
      </c>
      <c r="Q43">
        <v>6592</v>
      </c>
      <c r="R43" s="4">
        <f>_xlfn.RRI($Q$4-$M$4,M43,Q43)</f>
        <v>0.26912130104924681</v>
      </c>
    </row>
    <row r="44" spans="1:18" x14ac:dyDescent="0.35">
      <c r="A44" t="s">
        <v>162</v>
      </c>
      <c r="B44" t="s">
        <v>163</v>
      </c>
      <c r="C44" t="s">
        <v>164</v>
      </c>
      <c r="D44" t="s">
        <v>165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2519</v>
      </c>
      <c r="N44">
        <v>3938</v>
      </c>
      <c r="O44">
        <v>5190</v>
      </c>
      <c r="P44">
        <v>8203</v>
      </c>
      <c r="Q44">
        <v>6476</v>
      </c>
      <c r="R44" s="4">
        <f>_xlfn.RRI($Q$4-$M$4,M44,Q44)</f>
        <v>0.26625061163748387</v>
      </c>
    </row>
    <row r="45" spans="1:18" x14ac:dyDescent="0.35">
      <c r="A45" t="s">
        <v>23</v>
      </c>
      <c r="B45" t="s">
        <v>24</v>
      </c>
      <c r="C45" t="s">
        <v>25</v>
      </c>
      <c r="D45" t="s">
        <v>26</v>
      </c>
      <c r="E45" t="s">
        <v>21</v>
      </c>
      <c r="F45" t="s">
        <v>22</v>
      </c>
      <c r="G45" t="s">
        <v>22</v>
      </c>
      <c r="H45" t="s">
        <v>22</v>
      </c>
      <c r="I45" t="s">
        <v>27</v>
      </c>
      <c r="J45" t="s">
        <v>22</v>
      </c>
      <c r="K45" t="s">
        <v>22</v>
      </c>
      <c r="L45" t="s">
        <v>22</v>
      </c>
      <c r="M45">
        <v>2786</v>
      </c>
      <c r="N45">
        <v>3804</v>
      </c>
      <c r="O45">
        <v>4121</v>
      </c>
      <c r="P45">
        <v>6210</v>
      </c>
      <c r="Q45">
        <v>6002</v>
      </c>
      <c r="R45" s="4">
        <f>_xlfn.RRI($Q$4-$M$4,M45,Q45)</f>
        <v>0.2115147884354629</v>
      </c>
    </row>
    <row r="46" spans="1:18" x14ac:dyDescent="0.35">
      <c r="A46" t="s">
        <v>154</v>
      </c>
      <c r="B46" t="s">
        <v>155</v>
      </c>
      <c r="C46" t="s">
        <v>156</v>
      </c>
      <c r="D46" t="s">
        <v>157</v>
      </c>
      <c r="E46" t="s">
        <v>145</v>
      </c>
      <c r="F46" t="s">
        <v>22</v>
      </c>
      <c r="G46" t="s">
        <v>22</v>
      </c>
      <c r="H46" t="s">
        <v>22</v>
      </c>
      <c r="I46" t="s">
        <v>27</v>
      </c>
      <c r="J46" t="s">
        <v>27</v>
      </c>
      <c r="K46" t="s">
        <v>22</v>
      </c>
      <c r="L46" t="s">
        <v>22</v>
      </c>
      <c r="M46">
        <v>3297</v>
      </c>
      <c r="N46">
        <v>4866</v>
      </c>
      <c r="O46">
        <v>4928</v>
      </c>
      <c r="P46">
        <v>8451</v>
      </c>
      <c r="Q46">
        <v>5873</v>
      </c>
      <c r="R46" s="4">
        <f>_xlfn.RRI($Q$4-$M$4,M46,Q46)</f>
        <v>0.15527470221753026</v>
      </c>
    </row>
    <row r="47" spans="1:18" x14ac:dyDescent="0.35">
      <c r="A47" t="s">
        <v>80</v>
      </c>
      <c r="B47" t="s">
        <v>81</v>
      </c>
      <c r="C47" t="s">
        <v>82</v>
      </c>
      <c r="D47" t="s">
        <v>83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3501</v>
      </c>
      <c r="N47">
        <v>7079</v>
      </c>
      <c r="O47">
        <v>7438</v>
      </c>
      <c r="P47">
        <v>7443</v>
      </c>
      <c r="Q47">
        <v>5382</v>
      </c>
      <c r="R47" s="4">
        <f>_xlfn.RRI($Q$4-$M$4,M47,Q47)</f>
        <v>0.11349403707621808</v>
      </c>
    </row>
    <row r="48" spans="1:18" x14ac:dyDescent="0.3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5156</v>
      </c>
      <c r="R48" s="4">
        <f>_xlfn.RRI($Q$4-$M$4,M48,Q48)</f>
        <v>7.1192581652193443E-2</v>
      </c>
    </row>
    <row r="49" spans="1:18" x14ac:dyDescent="0.35">
      <c r="A49" t="s">
        <v>129</v>
      </c>
      <c r="B49" t="s">
        <v>130</v>
      </c>
      <c r="C49" t="s">
        <v>131</v>
      </c>
      <c r="D49" t="s">
        <v>132</v>
      </c>
      <c r="E49" t="s">
        <v>84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27</v>
      </c>
      <c r="L49" t="s">
        <v>27</v>
      </c>
      <c r="M49">
        <v>6309</v>
      </c>
      <c r="N49">
        <v>6227</v>
      </c>
      <c r="O49">
        <v>5123</v>
      </c>
      <c r="P49">
        <v>4968</v>
      </c>
      <c r="Q49">
        <v>4936</v>
      </c>
      <c r="R49" s="4">
        <f>_xlfn.RRI($Q$4-$M$4,M49,Q49)</f>
        <v>-5.9511139644279787E-2</v>
      </c>
    </row>
    <row r="50" spans="1:18" x14ac:dyDescent="0.35">
      <c r="A50" t="s">
        <v>150</v>
      </c>
      <c r="B50" t="s">
        <v>151</v>
      </c>
      <c r="C50" t="s">
        <v>152</v>
      </c>
      <c r="D50" t="s">
        <v>153</v>
      </c>
      <c r="E50" t="s">
        <v>145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22</v>
      </c>
      <c r="L50" t="s">
        <v>22</v>
      </c>
      <c r="M50">
        <v>8873</v>
      </c>
      <c r="N50">
        <v>8484</v>
      </c>
      <c r="O50">
        <v>7883</v>
      </c>
      <c r="P50">
        <v>7499</v>
      </c>
      <c r="Q50">
        <v>4657</v>
      </c>
      <c r="R50" s="4">
        <f>_xlfn.RRI($Q$4-$M$4,M50,Q50)</f>
        <v>-0.14884444260364027</v>
      </c>
    </row>
    <row r="51" spans="1:18" x14ac:dyDescent="0.3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5">
      <c r="A52" t="s">
        <v>231</v>
      </c>
      <c r="B52" t="s">
        <v>232</v>
      </c>
      <c r="C52" t="s">
        <v>233</v>
      </c>
      <c r="D52" t="s">
        <v>234</v>
      </c>
      <c r="E52" t="s">
        <v>206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22</v>
      </c>
      <c r="L52" t="s">
        <v>27</v>
      </c>
      <c r="M52">
        <v>9791</v>
      </c>
      <c r="N52">
        <v>9610</v>
      </c>
      <c r="O52">
        <v>7534</v>
      </c>
      <c r="P52">
        <v>5080</v>
      </c>
      <c r="Q52">
        <v>3857</v>
      </c>
      <c r="R52" s="4">
        <f>_xlfn.RRI($Q$4-$M$4,M52,Q52)</f>
        <v>-0.20776204121749242</v>
      </c>
    </row>
    <row r="53" spans="1:18" x14ac:dyDescent="0.3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2373</v>
      </c>
      <c r="R55" s="4">
        <f>_xlfn.RRI($Q$4-$M$4,M55,Q55)</f>
        <v>-0.2513724293447962</v>
      </c>
    </row>
    <row r="56" spans="1:18" x14ac:dyDescent="0.3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2359</v>
      </c>
      <c r="R56" s="4">
        <f>_xlfn.RRI($Q$4-$M$4,M56,Q56)</f>
        <v>-0.29894384719960321</v>
      </c>
    </row>
    <row r="57" spans="1:18" x14ac:dyDescent="0.3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Admin</cp:lastModifiedBy>
  <cp:revision/>
  <dcterms:created xsi:type="dcterms:W3CDTF">2022-01-18T02:47:06Z</dcterms:created>
  <dcterms:modified xsi:type="dcterms:W3CDTF">2023-03-15T20:05:37Z</dcterms:modified>
  <cp:category/>
  <cp:contentStatus/>
</cp:coreProperties>
</file>